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4.4 and Note S10\"/>
    </mc:Choice>
  </mc:AlternateContent>
  <xr:revisionPtr revIDLastSave="0" documentId="13_ncr:1_{1AD80CC1-4D23-4693-B858-2B1445DE5FBF}" xr6:coauthVersionLast="47" xr6:coauthVersionMax="47" xr10:uidLastSave="{00000000-0000-0000-0000-000000000000}"/>
  <bookViews>
    <workbookView xWindow="-120" yWindow="-120" windowWidth="51840" windowHeight="21120" xr2:uid="{92C1B092-817A-48B2-81EF-2CAC4ECCD07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2" l="1"/>
  <c r="AD11" i="2"/>
  <c r="AC21" i="2"/>
  <c r="AD21" i="2"/>
  <c r="AC19" i="2"/>
  <c r="AD19" i="2"/>
  <c r="AD13" i="2"/>
  <c r="AC13" i="2"/>
  <c r="AC17" i="2"/>
  <c r="AD17" i="2"/>
  <c r="AC15" i="2"/>
  <c r="AD15" i="2"/>
  <c r="M50" i="2"/>
  <c r="M49" i="2"/>
  <c r="M48" i="2"/>
  <c r="M47" i="2"/>
  <c r="M43" i="2"/>
  <c r="M42" i="2"/>
  <c r="M41" i="2"/>
  <c r="M40" i="2"/>
  <c r="M36" i="2"/>
  <c r="M35" i="2"/>
  <c r="M34" i="2"/>
  <c r="M33" i="2"/>
  <c r="M27" i="2"/>
  <c r="M28" i="2"/>
  <c r="M29" i="2"/>
  <c r="M26" i="2"/>
  <c r="M22" i="2"/>
  <c r="M21" i="2"/>
  <c r="M20" i="2"/>
  <c r="M19" i="2"/>
  <c r="M13" i="2"/>
  <c r="M14" i="2"/>
  <c r="M15" i="2"/>
  <c r="M12" i="2"/>
  <c r="AE15" i="2" l="1"/>
  <c r="AE13" i="2"/>
  <c r="AE11" i="2"/>
  <c r="AE17" i="2"/>
  <c r="AE19" i="2"/>
  <c r="AE21" i="2"/>
</calcChain>
</file>

<file path=xl/sharedStrings.xml><?xml version="1.0" encoding="utf-8"?>
<sst xmlns="http://schemas.openxmlformats.org/spreadsheetml/2006/main" count="69" uniqueCount="31">
  <si>
    <t>LCOH</t>
  </si>
  <si>
    <t>LCOE</t>
  </si>
  <si>
    <t>LF</t>
  </si>
  <si>
    <t>SEC_sys</t>
  </si>
  <si>
    <t>TIC_sys</t>
  </si>
  <si>
    <t>repl_cost</t>
  </si>
  <si>
    <t>Vin</t>
  </si>
  <si>
    <t>P</t>
  </si>
  <si>
    <t>Wgde</t>
  </si>
  <si>
    <t>dp</t>
  </si>
  <si>
    <t>Wsep</t>
  </si>
  <si>
    <t>j</t>
  </si>
  <si>
    <t>capex</t>
  </si>
  <si>
    <t>M_H2</t>
  </si>
  <si>
    <t>Fig. S6</t>
  </si>
  <si>
    <t xml:space="preserve">energy </t>
  </si>
  <si>
    <t>Fig. S7</t>
  </si>
  <si>
    <t>Fig. S8</t>
  </si>
  <si>
    <t>Fig. S9</t>
  </si>
  <si>
    <t>Fig. S10</t>
  </si>
  <si>
    <t>Fig. S11</t>
  </si>
  <si>
    <t>Input variable</t>
  </si>
  <si>
    <t>Table 3</t>
  </si>
  <si>
    <t>spec. energy</t>
  </si>
  <si>
    <t>spec. capex</t>
  </si>
  <si>
    <t>input param values</t>
  </si>
  <si>
    <t>(a)</t>
  </si>
  <si>
    <t>(b)</t>
  </si>
  <si>
    <t>(c)</t>
  </si>
  <si>
    <t>V_in</t>
  </si>
  <si>
    <t>input param selected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</si>
</sst>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50C0-CB79-40D2-AE1A-0BA0A2E7BF46}">
  <dimension ref="H8:AK50"/>
  <sheetViews>
    <sheetView tabSelected="1" workbookViewId="0">
      <selection activeCell="AF36" sqref="AF36"/>
    </sheetView>
  </sheetViews>
  <sheetFormatPr defaultRowHeight="15" x14ac:dyDescent="0.25"/>
  <cols>
    <col min="10" max="10" width="16.7109375" customWidth="1"/>
    <col min="11" max="11" width="14.42578125" customWidth="1"/>
    <col min="12" max="12" width="11.85546875" customWidth="1"/>
    <col min="14" max="14" width="11.28515625" customWidth="1"/>
    <col min="15" max="15" width="10.7109375" customWidth="1"/>
    <col min="20" max="20" width="12.7109375" customWidth="1"/>
    <col min="24" max="24" width="11.7109375" customWidth="1"/>
    <col min="28" max="28" width="11.7109375" customWidth="1"/>
    <col min="30" max="30" width="19.28515625" customWidth="1"/>
  </cols>
  <sheetData>
    <row r="8" spans="8:37" x14ac:dyDescent="0.25">
      <c r="AE8" s="2" t="s">
        <v>22</v>
      </c>
    </row>
    <row r="9" spans="8:37" ht="15.75" x14ac:dyDescent="0.25">
      <c r="H9" s="3" t="s">
        <v>21</v>
      </c>
      <c r="I9" s="3"/>
      <c r="K9" s="2" t="s">
        <v>14</v>
      </c>
    </row>
    <row r="10" spans="8:37" x14ac:dyDescent="0.25">
      <c r="I10" s="2" t="s">
        <v>6</v>
      </c>
      <c r="K10" t="s">
        <v>26</v>
      </c>
      <c r="N10" t="s">
        <v>27</v>
      </c>
      <c r="T10" t="s">
        <v>28</v>
      </c>
      <c r="AC10" s="2" t="s">
        <v>15</v>
      </c>
      <c r="AD10" s="2" t="s">
        <v>12</v>
      </c>
      <c r="AE10" s="2" t="s">
        <v>0</v>
      </c>
      <c r="AF10" s="2" t="s">
        <v>13</v>
      </c>
      <c r="AG10" s="2" t="s">
        <v>4</v>
      </c>
      <c r="AH10" s="2" t="s">
        <v>5</v>
      </c>
      <c r="AI10" s="2" t="s">
        <v>2</v>
      </c>
      <c r="AJ10" s="2" t="s">
        <v>3</v>
      </c>
      <c r="AK10" s="2" t="s">
        <v>1</v>
      </c>
    </row>
    <row r="11" spans="8:37" x14ac:dyDescent="0.25">
      <c r="I11" s="2"/>
      <c r="J11" s="2" t="s">
        <v>25</v>
      </c>
      <c r="K11" s="2" t="s">
        <v>23</v>
      </c>
      <c r="L11" s="2" t="s">
        <v>24</v>
      </c>
      <c r="M11" s="2" t="s">
        <v>0</v>
      </c>
      <c r="N11" s="2" t="s">
        <v>13</v>
      </c>
      <c r="O11" s="2" t="s">
        <v>4</v>
      </c>
      <c r="P11" s="2" t="s">
        <v>5</v>
      </c>
      <c r="Q11" s="2" t="s">
        <v>2</v>
      </c>
      <c r="R11" s="2" t="s">
        <v>3</v>
      </c>
      <c r="S11" s="2" t="s">
        <v>1</v>
      </c>
      <c r="T11" s="2" t="s">
        <v>8</v>
      </c>
      <c r="U11" s="2" t="s">
        <v>7</v>
      </c>
      <c r="V11" s="2" t="s">
        <v>6</v>
      </c>
      <c r="W11" s="2" t="s">
        <v>9</v>
      </c>
      <c r="X11" s="2" t="s">
        <v>11</v>
      </c>
      <c r="AB11" s="2" t="s">
        <v>29</v>
      </c>
      <c r="AC11">
        <f>((K15-K12)/AVERAGE(K12:K15))/((J15-J12)/AVERAGE(J12:J15))</f>
        <v>1.049305054003777E-2</v>
      </c>
      <c r="AD11">
        <f>((L15-L12)/AVERAGE(L12:L15))/((J15-J12)/AVERAGE(J12:J15))</f>
        <v>5.7927750136600745E-2</v>
      </c>
      <c r="AE11">
        <f>((M15-M12)/AVERAGE(M12:M15))/((J15-J12)/AVERAGE(J12:J15))</f>
        <v>2.2292139572242027E-2</v>
      </c>
      <c r="AF11">
        <v>-5.3342939198088503E-2</v>
      </c>
      <c r="AG11">
        <v>-3.28569007270613E-4</v>
      </c>
      <c r="AH11">
        <v>-0.33004863474176799</v>
      </c>
      <c r="AI11">
        <v>-1.9829075915808701E-2</v>
      </c>
      <c r="AJ11">
        <v>8.2409883119470909E-3</v>
      </c>
      <c r="AK11">
        <v>1.80006414280726E-3</v>
      </c>
    </row>
    <row r="12" spans="8:37" x14ac:dyDescent="0.25">
      <c r="I12" s="2"/>
      <c r="J12">
        <v>7.0000000000000001E-3</v>
      </c>
      <c r="K12">
        <v>5.3173500000000002</v>
      </c>
      <c r="L12">
        <v>1.7323900000000001</v>
      </c>
      <c r="M12">
        <f>K12+L12</f>
        <v>7.0497399999999999</v>
      </c>
      <c r="N12">
        <v>-0.30214000000000002</v>
      </c>
      <c r="O12">
        <v>1.3963699999999999</v>
      </c>
      <c r="P12">
        <v>13.89354</v>
      </c>
      <c r="Q12">
        <v>0.23993999999999999</v>
      </c>
      <c r="R12">
        <v>-0.49958000000000002</v>
      </c>
      <c r="S12">
        <v>7.7229999999999993E-2</v>
      </c>
      <c r="T12">
        <v>-1.004E-2</v>
      </c>
      <c r="U12">
        <v>45.813870000000001</v>
      </c>
      <c r="V12">
        <v>-4.0418099999999999</v>
      </c>
      <c r="W12">
        <v>2.1590000000000002E-2</v>
      </c>
      <c r="X12">
        <v>-9.3479999999999994E-2</v>
      </c>
      <c r="AB12" s="2"/>
    </row>
    <row r="13" spans="8:37" x14ac:dyDescent="0.25">
      <c r="I13" s="2"/>
      <c r="J13">
        <v>1.0999999999999999E-2</v>
      </c>
      <c r="K13">
        <v>5.3399200000000002</v>
      </c>
      <c r="L13">
        <v>1.6933800000000001</v>
      </c>
      <c r="M13">
        <f t="shared" ref="M13:M15" si="0">K13+L13</f>
        <v>7.0333000000000006</v>
      </c>
      <c r="N13">
        <v>-3.9613499999999999</v>
      </c>
      <c r="O13">
        <v>-0.28616999999999998</v>
      </c>
      <c r="P13">
        <v>-26.17266</v>
      </c>
      <c r="Q13">
        <v>-1.34196</v>
      </c>
      <c r="R13">
        <v>0.90824000000000005</v>
      </c>
      <c r="S13">
        <v>7.077E-2</v>
      </c>
      <c r="T13">
        <v>-1.0619999999999999E-2</v>
      </c>
      <c r="U13">
        <v>-59.909509999999997</v>
      </c>
      <c r="V13">
        <v>-14.39785</v>
      </c>
      <c r="W13">
        <v>1.9820000000000001E-2</v>
      </c>
      <c r="X13">
        <v>-1.62639</v>
      </c>
      <c r="AB13" s="2" t="s">
        <v>8</v>
      </c>
      <c r="AC13">
        <f>((K22-K19)/AVERAGE(K19:K22))/((J22-J19)/AVERAGE(J19:J22))</f>
        <v>5.5032589904421467E-4</v>
      </c>
      <c r="AD13">
        <f>((L22-L19)/AVERAGE(L19:L22))/((J22-J19)/AVERAGE(J19:J22))</f>
        <v>0.36411595909160444</v>
      </c>
      <c r="AE13">
        <f>((M22-M19)/AVERAGE(M19:M22))/((J22-J19)/AVERAGE(J19:J22))</f>
        <v>9.9059579388084407E-2</v>
      </c>
      <c r="AF13">
        <v>1.5979375452644998E-2</v>
      </c>
      <c r="AG13">
        <v>0.37805777862140599</v>
      </c>
      <c r="AH13">
        <v>0.38609797434200799</v>
      </c>
      <c r="AI13">
        <v>-2.94441664355455E-2</v>
      </c>
      <c r="AJ13">
        <v>5.9902604776791799E-3</v>
      </c>
      <c r="AK13">
        <v>-5.4381204897254601E-3</v>
      </c>
    </row>
    <row r="14" spans="8:37" x14ac:dyDescent="0.25">
      <c r="I14" s="2"/>
      <c r="J14">
        <v>0.03</v>
      </c>
      <c r="K14">
        <v>5.3922299999999996</v>
      </c>
      <c r="L14">
        <v>1.7685599999999999</v>
      </c>
      <c r="M14">
        <f t="shared" si="0"/>
        <v>7.1607899999999995</v>
      </c>
      <c r="N14">
        <v>-9.7703199999999999</v>
      </c>
      <c r="O14">
        <v>1.33585</v>
      </c>
      <c r="P14">
        <v>-38.209989999999998</v>
      </c>
      <c r="Q14">
        <v>-3.3592200000000001</v>
      </c>
      <c r="R14">
        <v>1.01647</v>
      </c>
      <c r="S14">
        <v>0.40749000000000002</v>
      </c>
      <c r="T14">
        <v>-9.7000000000000003E-3</v>
      </c>
      <c r="U14">
        <v>-74.625569999999996</v>
      </c>
      <c r="V14">
        <v>-24.886379999999999</v>
      </c>
      <c r="W14">
        <v>0.11892999999999999</v>
      </c>
      <c r="X14">
        <v>-4.3727600000000004</v>
      </c>
      <c r="AB14" s="2"/>
    </row>
    <row r="15" spans="8:37" x14ac:dyDescent="0.25">
      <c r="I15" s="2"/>
      <c r="J15">
        <v>0.05</v>
      </c>
      <c r="K15">
        <v>5.4161799999999998</v>
      </c>
      <c r="L15">
        <v>1.9130400000000001</v>
      </c>
      <c r="M15">
        <f t="shared" si="0"/>
        <v>7.3292199999999994</v>
      </c>
      <c r="AB15" s="2" t="s">
        <v>7</v>
      </c>
      <c r="AC15">
        <f>((K29-K26)/AVERAGE(K26:K29))/((J29-J26)/AVERAGE(J26:J29))</f>
        <v>-1.2618260371842131E-2</v>
      </c>
      <c r="AD15">
        <f>((L29-L26)/AVERAGE(L26:L29))/((J29-J26)/AVERAGE(J26:J29))</f>
        <v>-3.0141366891106473E-2</v>
      </c>
      <c r="AE15">
        <f>((M29-M26)/AVERAGE(M26:M29))/((J29-J26)/AVERAGE(J26:J29))</f>
        <v>-1.695220723235083E-2</v>
      </c>
      <c r="AF15">
        <v>1.3811889277410699E-2</v>
      </c>
      <c r="AG15">
        <v>-2.0133590684288102E-2</v>
      </c>
      <c r="AH15">
        <v>0.27497935834555898</v>
      </c>
      <c r="AI15">
        <v>5.4022900025337099E-3</v>
      </c>
      <c r="AJ15">
        <v>-1.5111104761226001E-2</v>
      </c>
      <c r="AK15">
        <v>9.8254166411310411E-4</v>
      </c>
    </row>
    <row r="16" spans="8:37" x14ac:dyDescent="0.25">
      <c r="I16" s="2"/>
      <c r="AB16" s="2"/>
    </row>
    <row r="17" spans="9:37" x14ac:dyDescent="0.25">
      <c r="I17" s="2"/>
      <c r="K17" s="2" t="s">
        <v>16</v>
      </c>
      <c r="AB17" s="2" t="s">
        <v>9</v>
      </c>
      <c r="AC17">
        <f>((K36-K33)/AVERAGE(K33:K36))/((J36-J33)/AVERAGE(J33:J36))</f>
        <v>2.8079723282598747E-3</v>
      </c>
      <c r="AD17">
        <f>((L36-L33)/AVERAGE(L33:L36))/((J36-J33)/AVERAGE(J33:J36))</f>
        <v>1.634630744610097E-2</v>
      </c>
      <c r="AE17">
        <f>((M36-M33)/AVERAGE(M33:M36))/((J36-J33)/AVERAGE(J33:J36))</f>
        <v>6.1068775223863288E-3</v>
      </c>
      <c r="AF17">
        <v>-3.9124183556406199E-2</v>
      </c>
      <c r="AG17">
        <v>-2.2269684887218699E-2</v>
      </c>
      <c r="AH17">
        <v>-1.48603646384794E-2</v>
      </c>
      <c r="AI17">
        <v>1.3180155503026399E-3</v>
      </c>
      <c r="AJ17">
        <v>-1.6375328580208099E-4</v>
      </c>
      <c r="AK17">
        <v>3.1223566671821201E-3</v>
      </c>
    </row>
    <row r="18" spans="9:37" x14ac:dyDescent="0.25">
      <c r="I18" s="2" t="s">
        <v>8</v>
      </c>
      <c r="K18" t="s">
        <v>26</v>
      </c>
      <c r="N18" t="s">
        <v>27</v>
      </c>
      <c r="T18" t="s">
        <v>28</v>
      </c>
      <c r="AB18" s="2"/>
    </row>
    <row r="19" spans="9:37" x14ac:dyDescent="0.25">
      <c r="I19" s="2"/>
      <c r="J19">
        <v>0.7</v>
      </c>
      <c r="K19">
        <v>5.33908</v>
      </c>
      <c r="L19">
        <v>1.70052</v>
      </c>
      <c r="M19">
        <f>K19+L19</f>
        <v>7.0396000000000001</v>
      </c>
      <c r="N19">
        <v>-1.0248699999999999</v>
      </c>
      <c r="O19">
        <v>9.8422800000000006</v>
      </c>
      <c r="P19">
        <v>19.65634</v>
      </c>
      <c r="Q19">
        <v>-0.11726</v>
      </c>
      <c r="R19">
        <v>-5.1900000000000002E-3</v>
      </c>
      <c r="S19">
        <v>3.7539999999999997E-2</v>
      </c>
      <c r="T19">
        <v>-0.32217000000000001</v>
      </c>
      <c r="U19">
        <v>-32.148090000000003</v>
      </c>
      <c r="V19">
        <v>13.966060000000001</v>
      </c>
      <c r="W19">
        <v>12.619899999999999</v>
      </c>
      <c r="X19">
        <v>-0.39954000000000001</v>
      </c>
      <c r="AB19" s="2" t="s">
        <v>10</v>
      </c>
      <c r="AC19">
        <f>((K43-K40)/AVERAGE(K40:K43))/((J43-J40)/AVERAGE(J40:J43))</f>
        <v>7.3930116127418469E-2</v>
      </c>
      <c r="AD19">
        <f>((L43-L40)/AVERAGE(L40:L43))/((J43-J40)/AVERAGE(J40:J43))</f>
        <v>0.60166919601140612</v>
      </c>
      <c r="AE19">
        <f>((M43-M40)/AVERAGE(M40:M43))/((J43-J40)/AVERAGE(J40:J43))</f>
        <v>0.23464144356324135</v>
      </c>
      <c r="AF19">
        <v>-1.09048959886093</v>
      </c>
      <c r="AG19">
        <v>-0.51934809211508903</v>
      </c>
      <c r="AH19">
        <v>-0.90629989063652305</v>
      </c>
      <c r="AI19">
        <v>-0.45718795237595</v>
      </c>
      <c r="AJ19">
        <v>1.57174323529638E-2</v>
      </c>
      <c r="AK19">
        <v>5.4903709539649202E-2</v>
      </c>
    </row>
    <row r="20" spans="9:37" x14ac:dyDescent="0.25">
      <c r="I20" s="2"/>
      <c r="J20">
        <v>1</v>
      </c>
      <c r="K20">
        <v>5.3408100000000003</v>
      </c>
      <c r="L20">
        <v>1.88723</v>
      </c>
      <c r="M20">
        <f>K20+L20</f>
        <v>7.22804</v>
      </c>
      <c r="N20">
        <v>2.3460299999999998</v>
      </c>
      <c r="O20">
        <v>25.49117</v>
      </c>
      <c r="P20">
        <v>29.68479</v>
      </c>
      <c r="Q20">
        <v>-1.21705</v>
      </c>
      <c r="R20">
        <v>0.38428000000000001</v>
      </c>
      <c r="S20">
        <v>-0.36917</v>
      </c>
      <c r="T20">
        <v>-34.738160000000001</v>
      </c>
      <c r="U20">
        <v>-16.33005</v>
      </c>
      <c r="V20">
        <v>20.170829999999999</v>
      </c>
      <c r="W20">
        <v>3.5094699999999999</v>
      </c>
      <c r="X20">
        <v>4.4488099999999999</v>
      </c>
      <c r="AB20" s="2"/>
    </row>
    <row r="21" spans="9:37" x14ac:dyDescent="0.25">
      <c r="I21" s="2"/>
      <c r="J21">
        <v>1.3</v>
      </c>
      <c r="K21">
        <v>5.3398099999999999</v>
      </c>
      <c r="L21">
        <v>2.0850900000000001</v>
      </c>
      <c r="M21">
        <f>K21+L21</f>
        <v>7.4249000000000001</v>
      </c>
      <c r="N21">
        <v>1.26362</v>
      </c>
      <c r="O21">
        <v>34.942700000000002</v>
      </c>
      <c r="P21">
        <v>37.372810000000001</v>
      </c>
      <c r="Q21">
        <v>-2.28531</v>
      </c>
      <c r="R21">
        <v>0.46977999999999998</v>
      </c>
      <c r="S21">
        <v>-0.42468</v>
      </c>
      <c r="T21">
        <v>-42.618949999999998</v>
      </c>
      <c r="U21">
        <v>-21.644469999999998</v>
      </c>
      <c r="V21">
        <v>24.109639999999999</v>
      </c>
      <c r="W21">
        <v>5.16554</v>
      </c>
      <c r="X21">
        <v>4.6027199999999997</v>
      </c>
      <c r="AB21" s="2" t="s">
        <v>11</v>
      </c>
      <c r="AC21">
        <f>((K50-K47)/AVERAGE(K47:K50))/((J50-J47)/AVERAGE(J47:J50))</f>
        <v>-0.32974770052044916</v>
      </c>
      <c r="AD21">
        <f>((L50-L47)/AVERAGE(L47:L50))/((J50-J47)/AVERAGE(J47:J50))</f>
        <v>-1.4032236887609952</v>
      </c>
      <c r="AE21">
        <f>((M50-M47)/AVERAGE(M47:M50)/((J50-J47)/AVERAGE(J47:J50)))</f>
        <v>-0.6811277656574668</v>
      </c>
      <c r="AF21">
        <v>1.1197668074442599</v>
      </c>
      <c r="AG21">
        <v>0.63178281959860505</v>
      </c>
      <c r="AH21">
        <v>1.32419466567433</v>
      </c>
      <c r="AI21">
        <v>0.81867962916494097</v>
      </c>
      <c r="AJ21">
        <v>-0.23373571847720501</v>
      </c>
      <c r="AK21">
        <v>-0.72296950854341202</v>
      </c>
    </row>
    <row r="22" spans="9:37" x14ac:dyDescent="0.25">
      <c r="I22" s="2"/>
      <c r="J22">
        <v>1.6</v>
      </c>
      <c r="K22">
        <v>5.34138</v>
      </c>
      <c r="L22">
        <v>2.2660900000000002</v>
      </c>
      <c r="M22">
        <f t="shared" ref="M22" si="1">K22+L22</f>
        <v>7.6074700000000002</v>
      </c>
    </row>
    <row r="23" spans="9:37" x14ac:dyDescent="0.25">
      <c r="I23" s="2"/>
    </row>
    <row r="24" spans="9:37" x14ac:dyDescent="0.25">
      <c r="I24" s="2"/>
      <c r="K24" s="2" t="s">
        <v>18</v>
      </c>
    </row>
    <row r="25" spans="9:37" x14ac:dyDescent="0.25">
      <c r="I25" s="2" t="s">
        <v>7</v>
      </c>
      <c r="K25" t="s">
        <v>26</v>
      </c>
      <c r="N25" t="s">
        <v>27</v>
      </c>
      <c r="T25" t="s">
        <v>28</v>
      </c>
    </row>
    <row r="26" spans="9:37" x14ac:dyDescent="0.25">
      <c r="I26" s="2"/>
      <c r="J26">
        <v>1</v>
      </c>
      <c r="K26">
        <v>5.4295600000000004</v>
      </c>
      <c r="L26">
        <v>1.8517999999999999</v>
      </c>
      <c r="M26">
        <f>K26+L26</f>
        <v>7.2813600000000003</v>
      </c>
      <c r="N26">
        <v>0.33909</v>
      </c>
      <c r="O26">
        <v>8.9054199999999994</v>
      </c>
      <c r="P26">
        <v>-20.602730000000001</v>
      </c>
      <c r="Q26">
        <v>-0.53249000000000002</v>
      </c>
      <c r="R26">
        <v>1.99912</v>
      </c>
      <c r="S26">
        <v>-0.31646000000000002</v>
      </c>
      <c r="T26">
        <v>-3.9649999999999998E-2</v>
      </c>
      <c r="U26">
        <v>33.271650000000001</v>
      </c>
      <c r="V26">
        <v>38.374760000000002</v>
      </c>
      <c r="W26">
        <v>-0.3624</v>
      </c>
      <c r="X26">
        <v>0.64246999999999999</v>
      </c>
    </row>
    <row r="27" spans="9:37" x14ac:dyDescent="0.25">
      <c r="I27" s="2"/>
      <c r="J27">
        <v>3</v>
      </c>
      <c r="K27">
        <v>5.3660800000000002</v>
      </c>
      <c r="L27">
        <v>1.7309000000000001</v>
      </c>
      <c r="M27">
        <f>K27+L27</f>
        <v>7.0969800000000003</v>
      </c>
      <c r="N27">
        <v>-0.86990999999999996</v>
      </c>
      <c r="O27">
        <v>0.56869000000000003</v>
      </c>
      <c r="P27">
        <v>-10.97946</v>
      </c>
      <c r="Q27">
        <v>-0.18576000000000001</v>
      </c>
      <c r="R27">
        <v>0.53222999999999998</v>
      </c>
      <c r="S27">
        <v>-4.4389999999999999E-2</v>
      </c>
      <c r="T27">
        <v>-3.9579999999999997E-2</v>
      </c>
      <c r="U27">
        <v>22.82349</v>
      </c>
      <c r="V27">
        <v>10.09768</v>
      </c>
      <c r="W27">
        <v>-0.84414</v>
      </c>
      <c r="X27">
        <v>-1.1498600000000001</v>
      </c>
    </row>
    <row r="28" spans="9:37" x14ac:dyDescent="0.25">
      <c r="I28" s="2"/>
      <c r="J28">
        <v>5.57</v>
      </c>
      <c r="K28">
        <v>5.3400499999999997</v>
      </c>
      <c r="L28">
        <v>1.70614</v>
      </c>
      <c r="M28">
        <f>K28+L28</f>
        <v>7.0461899999999993</v>
      </c>
      <c r="N28">
        <v>2.5209100000000002</v>
      </c>
      <c r="O28">
        <v>5.6593900000000001</v>
      </c>
      <c r="P28">
        <v>22.929069999999999</v>
      </c>
      <c r="Q28">
        <v>0.32052999999999998</v>
      </c>
      <c r="R28">
        <v>-0.39190000000000003</v>
      </c>
      <c r="S28">
        <v>-0.16139999999999999</v>
      </c>
      <c r="T28">
        <v>-4.641E-2</v>
      </c>
      <c r="U28">
        <v>-31.23556</v>
      </c>
      <c r="V28">
        <v>-41.211080000000003</v>
      </c>
      <c r="W28">
        <v>1.8732800000000001</v>
      </c>
      <c r="X28">
        <v>3.3314900000000001</v>
      </c>
    </row>
    <row r="29" spans="9:37" x14ac:dyDescent="0.25">
      <c r="I29" s="2"/>
      <c r="J29">
        <v>9.3000000000000007</v>
      </c>
      <c r="K29">
        <v>5.31053</v>
      </c>
      <c r="L29">
        <v>1.75837</v>
      </c>
      <c r="M29">
        <f t="shared" ref="M29" si="2">K29+L29</f>
        <v>7.0689000000000002</v>
      </c>
      <c r="AD29" s="2" t="s">
        <v>30</v>
      </c>
      <c r="AE29" s="2" t="s">
        <v>13</v>
      </c>
      <c r="AF29" s="2" t="s">
        <v>4</v>
      </c>
      <c r="AG29" s="2" t="s">
        <v>5</v>
      </c>
      <c r="AH29" s="2" t="s">
        <v>2</v>
      </c>
      <c r="AI29" s="2" t="s">
        <v>3</v>
      </c>
      <c r="AJ29" s="2" t="s">
        <v>1</v>
      </c>
    </row>
    <row r="30" spans="9:37" x14ac:dyDescent="0.25">
      <c r="I30" s="2"/>
      <c r="AD30">
        <v>7.0000000000000001E-3</v>
      </c>
      <c r="AE30">
        <v>-0.30214000000000002</v>
      </c>
      <c r="AF30">
        <v>1.3963699999999999</v>
      </c>
      <c r="AG30">
        <v>13.89354</v>
      </c>
      <c r="AH30">
        <v>0.23993999999999999</v>
      </c>
      <c r="AI30">
        <v>-0.49958000000000002</v>
      </c>
      <c r="AJ30">
        <v>7.7229999999999993E-2</v>
      </c>
    </row>
    <row r="31" spans="9:37" x14ac:dyDescent="0.25">
      <c r="I31" s="2"/>
      <c r="K31" s="2" t="s">
        <v>17</v>
      </c>
      <c r="AD31">
        <v>1.0999999999999999E-2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9:37" x14ac:dyDescent="0.25">
      <c r="I32" s="2" t="s">
        <v>9</v>
      </c>
      <c r="K32" t="s">
        <v>26</v>
      </c>
      <c r="N32" t="s">
        <v>27</v>
      </c>
      <c r="T32" t="s">
        <v>28</v>
      </c>
      <c r="AD32">
        <v>0.03</v>
      </c>
      <c r="AE32">
        <v>-3.9613499999999999</v>
      </c>
      <c r="AF32">
        <v>-0.28616999999999998</v>
      </c>
      <c r="AG32">
        <v>-26.17266</v>
      </c>
      <c r="AH32">
        <v>-1.34196</v>
      </c>
      <c r="AI32">
        <v>0.90824000000000005</v>
      </c>
      <c r="AJ32">
        <v>7.077E-2</v>
      </c>
    </row>
    <row r="33" spans="9:36" x14ac:dyDescent="0.25">
      <c r="I33" s="2"/>
      <c r="J33">
        <v>200</v>
      </c>
      <c r="K33">
        <v>5.3391700000000002</v>
      </c>
      <c r="L33">
        <v>1.70824</v>
      </c>
      <c r="M33">
        <f>K33+L33</f>
        <v>7.0474100000000002</v>
      </c>
      <c r="N33">
        <v>0.19328999999999999</v>
      </c>
      <c r="O33">
        <v>0.84035000000000004</v>
      </c>
      <c r="P33">
        <v>-2.7681900000000002</v>
      </c>
      <c r="Q33">
        <v>-0.12292</v>
      </c>
      <c r="R33">
        <v>4.8300000000000003E-2</v>
      </c>
      <c r="S33">
        <v>5.1639999999999998E-2</v>
      </c>
      <c r="T33">
        <v>0.12105</v>
      </c>
      <c r="U33">
        <v>5.6442899999999998</v>
      </c>
      <c r="V33">
        <v>8.1356000000000002</v>
      </c>
      <c r="W33">
        <v>3.3134899999999998</v>
      </c>
      <c r="X33">
        <v>-0.30889</v>
      </c>
      <c r="AD33">
        <v>0.05</v>
      </c>
      <c r="AE33">
        <v>-9.7703199999999999</v>
      </c>
      <c r="AF33">
        <v>1.33585</v>
      </c>
      <c r="AG33">
        <v>-38.209989999999998</v>
      </c>
      <c r="AH33">
        <v>-3.3592200000000001</v>
      </c>
      <c r="AI33">
        <v>1.01647</v>
      </c>
      <c r="AJ33">
        <v>0.40749000000000002</v>
      </c>
    </row>
    <row r="34" spans="9:36" x14ac:dyDescent="0.25">
      <c r="I34" s="2"/>
      <c r="J34">
        <v>360</v>
      </c>
      <c r="K34">
        <v>5.3338400000000004</v>
      </c>
      <c r="L34">
        <v>1.7072799999999999</v>
      </c>
      <c r="M34">
        <f t="shared" ref="M34:M36" si="3">K34+L34</f>
        <v>7.0411200000000003</v>
      </c>
      <c r="N34">
        <v>-0.15978999999999999</v>
      </c>
      <c r="O34">
        <v>1.52654</v>
      </c>
      <c r="P34">
        <v>-6.3319200000000002</v>
      </c>
      <c r="Q34">
        <v>-0.22364999999999999</v>
      </c>
      <c r="R34">
        <v>5.3030000000000001E-2</v>
      </c>
      <c r="S34">
        <v>9.7750000000000004E-2</v>
      </c>
      <c r="T34">
        <v>-7.92E-3</v>
      </c>
      <c r="U34">
        <v>-21.8626</v>
      </c>
      <c r="V34">
        <v>7.6096899999999996</v>
      </c>
      <c r="W34">
        <v>7.0400000000000004E-2</v>
      </c>
      <c r="X34">
        <v>-0.57062000000000002</v>
      </c>
    </row>
    <row r="35" spans="9:36" x14ac:dyDescent="0.25">
      <c r="I35" s="2"/>
      <c r="J35">
        <v>500</v>
      </c>
      <c r="K35">
        <v>5.3418900000000002</v>
      </c>
      <c r="L35">
        <v>1.7259500000000001</v>
      </c>
      <c r="M35">
        <f t="shared" si="3"/>
        <v>7.0678400000000003</v>
      </c>
      <c r="N35">
        <v>-4.5535500000000004</v>
      </c>
      <c r="O35">
        <v>-1.8952599999999999</v>
      </c>
      <c r="P35">
        <v>-4.5705099999999996</v>
      </c>
      <c r="Q35">
        <v>3.8390000000000001E-2</v>
      </c>
      <c r="R35">
        <v>2.8240000000000001E-2</v>
      </c>
      <c r="S35">
        <v>0.43461</v>
      </c>
      <c r="T35">
        <v>-7.1700000000000002E-3</v>
      </c>
      <c r="U35">
        <v>-18.347010000000001</v>
      </c>
      <c r="V35">
        <v>-31.566939999999999</v>
      </c>
      <c r="W35">
        <v>2.3310000000000001E-2</v>
      </c>
      <c r="X35">
        <v>-4.9096700000000002</v>
      </c>
    </row>
    <row r="36" spans="9:36" x14ac:dyDescent="0.25">
      <c r="I36" s="2"/>
      <c r="J36">
        <v>800</v>
      </c>
      <c r="K36">
        <v>5.35853</v>
      </c>
      <c r="L36">
        <v>1.74455</v>
      </c>
      <c r="M36">
        <f t="shared" si="3"/>
        <v>7.1030800000000003</v>
      </c>
    </row>
    <row r="37" spans="9:36" x14ac:dyDescent="0.25">
      <c r="I37" s="2"/>
    </row>
    <row r="38" spans="9:36" x14ac:dyDescent="0.25">
      <c r="I38" s="2"/>
      <c r="K38" s="2" t="s">
        <v>19</v>
      </c>
    </row>
    <row r="39" spans="9:36" x14ac:dyDescent="0.25">
      <c r="I39" s="2" t="s">
        <v>10</v>
      </c>
      <c r="K39" t="s">
        <v>26</v>
      </c>
      <c r="N39" t="s">
        <v>27</v>
      </c>
      <c r="T39" t="s">
        <v>28</v>
      </c>
    </row>
    <row r="40" spans="9:36" x14ac:dyDescent="0.25">
      <c r="I40" s="2"/>
      <c r="J40">
        <v>0.1</v>
      </c>
      <c r="K40">
        <v>5.3393300000000004</v>
      </c>
      <c r="L40">
        <v>1.7031000000000001</v>
      </c>
      <c r="M40">
        <f>K40+L40</f>
        <v>7.0424300000000004</v>
      </c>
      <c r="N40">
        <v>-40.808160000000001</v>
      </c>
      <c r="O40">
        <v>-30.453790000000001</v>
      </c>
      <c r="P40">
        <v>-23.30414</v>
      </c>
      <c r="Q40">
        <v>-2.4648400000000001</v>
      </c>
      <c r="R40">
        <v>-4.4240000000000002E-2</v>
      </c>
      <c r="S40">
        <v>3.9920499999999999</v>
      </c>
      <c r="T40">
        <v>-2.5329999999999998E-2</v>
      </c>
      <c r="U40">
        <v>-0.56906000000000001</v>
      </c>
      <c r="V40">
        <v>-37.750799999999998</v>
      </c>
      <c r="W40">
        <v>-13.908519999999999</v>
      </c>
      <c r="X40">
        <v>-38.910220000000002</v>
      </c>
    </row>
    <row r="41" spans="9:36" x14ac:dyDescent="0.25">
      <c r="I41" s="2"/>
      <c r="J41">
        <v>0.25</v>
      </c>
      <c r="K41">
        <v>5.55002</v>
      </c>
      <c r="L41">
        <v>2.00102</v>
      </c>
      <c r="M41">
        <f t="shared" ref="M41:M43" si="4">K41+L41</f>
        <v>7.5510400000000004</v>
      </c>
      <c r="N41">
        <v>-61.588189999999997</v>
      </c>
      <c r="O41">
        <v>-41.586680000000001</v>
      </c>
      <c r="P41">
        <v>-30.493120000000001</v>
      </c>
      <c r="Q41">
        <v>-13.194100000000001</v>
      </c>
      <c r="R41">
        <v>0.75488999999999995</v>
      </c>
      <c r="S41">
        <v>6.5747299999999997</v>
      </c>
      <c r="T41">
        <v>-2.2589999999999999E-2</v>
      </c>
      <c r="U41">
        <v>-33.675629999999998</v>
      </c>
      <c r="V41">
        <v>-37.799219999999998</v>
      </c>
      <c r="W41">
        <v>-18.56439</v>
      </c>
      <c r="X41">
        <v>-55.18038</v>
      </c>
    </row>
    <row r="42" spans="9:36" x14ac:dyDescent="0.25">
      <c r="I42" s="2"/>
      <c r="J42">
        <v>0.4</v>
      </c>
      <c r="K42">
        <v>5.7333299999999996</v>
      </c>
      <c r="L42">
        <v>2.5899200000000002</v>
      </c>
      <c r="M42">
        <f t="shared" si="4"/>
        <v>8.3232499999999998</v>
      </c>
      <c r="N42">
        <v>-74.696489999999997</v>
      </c>
      <c r="O42">
        <v>-47.26558</v>
      </c>
      <c r="P42">
        <v>-61.864260000000002</v>
      </c>
      <c r="Q42">
        <v>-35.625320000000002</v>
      </c>
      <c r="R42">
        <v>2.0604100000000001</v>
      </c>
      <c r="S42">
        <v>7.4886999999999997</v>
      </c>
      <c r="T42">
        <v>-3.1820000000000001E-2</v>
      </c>
      <c r="U42">
        <v>-59.050840000000001</v>
      </c>
      <c r="V42">
        <v>-37.815249999999999</v>
      </c>
      <c r="W42">
        <v>-31.7441</v>
      </c>
      <c r="X42">
        <v>-60.159579999999998</v>
      </c>
    </row>
    <row r="43" spans="9:36" x14ac:dyDescent="0.25">
      <c r="I43" s="2"/>
      <c r="J43">
        <v>0.48499999999999999</v>
      </c>
      <c r="K43">
        <v>5.8574299999999999</v>
      </c>
      <c r="L43">
        <v>3.5493800000000002</v>
      </c>
      <c r="M43">
        <f t="shared" si="4"/>
        <v>9.4068100000000001</v>
      </c>
    </row>
    <row r="44" spans="9:36" x14ac:dyDescent="0.25">
      <c r="I44" s="2"/>
    </row>
    <row r="45" spans="9:36" x14ac:dyDescent="0.25">
      <c r="I45" s="2"/>
      <c r="K45" s="2" t="s">
        <v>20</v>
      </c>
    </row>
    <row r="46" spans="9:36" x14ac:dyDescent="0.25">
      <c r="I46" s="2" t="s">
        <v>11</v>
      </c>
      <c r="K46" t="s">
        <v>26</v>
      </c>
      <c r="N46" t="s">
        <v>27</v>
      </c>
      <c r="T46" t="s">
        <v>28</v>
      </c>
    </row>
    <row r="47" spans="9:36" x14ac:dyDescent="0.25">
      <c r="J47">
        <v>3000</v>
      </c>
      <c r="K47">
        <v>7.3814900000000003</v>
      </c>
      <c r="L47">
        <v>6.0918700000000001</v>
      </c>
      <c r="M47">
        <f>K47+L47</f>
        <v>13.47336</v>
      </c>
      <c r="N47">
        <v>-85.335560000000001</v>
      </c>
      <c r="O47">
        <v>-47.467779999999998</v>
      </c>
      <c r="P47">
        <v>-71.513620000000003</v>
      </c>
      <c r="Q47">
        <v>-43.113500000000002</v>
      </c>
      <c r="R47">
        <v>-3.9406099999999999</v>
      </c>
      <c r="S47">
        <v>43.953800000000001</v>
      </c>
      <c r="T47" s="1">
        <v>-8.34661E-4</v>
      </c>
      <c r="U47">
        <v>-57.733280000000001</v>
      </c>
      <c r="V47">
        <v>-35.807659999999998</v>
      </c>
      <c r="W47">
        <v>117.78846</v>
      </c>
      <c r="X47">
        <v>286.74588999999997</v>
      </c>
    </row>
    <row r="48" spans="9:36" x14ac:dyDescent="0.25">
      <c r="J48">
        <v>9000</v>
      </c>
      <c r="K48">
        <v>5.4157099999999998</v>
      </c>
      <c r="L48">
        <v>1.7719800000000001</v>
      </c>
      <c r="M48">
        <f t="shared" ref="M48:M50" si="5">K48+L48</f>
        <v>7.1876899999999999</v>
      </c>
      <c r="N48">
        <v>-21.545660000000002</v>
      </c>
      <c r="O48">
        <v>-18.25057</v>
      </c>
      <c r="P48">
        <v>-15.53406</v>
      </c>
      <c r="Q48">
        <v>-0.21734000000000001</v>
      </c>
      <c r="R48">
        <v>-0.42920999999999998</v>
      </c>
      <c r="S48">
        <v>1.89245</v>
      </c>
      <c r="T48" s="1">
        <v>-6.23629E-4</v>
      </c>
      <c r="U48">
        <v>24.106120000000001</v>
      </c>
      <c r="V48">
        <v>-35.807650000000002</v>
      </c>
      <c r="W48">
        <v>5.7524800000000003</v>
      </c>
      <c r="X48">
        <v>53.940980000000003</v>
      </c>
    </row>
    <row r="49" spans="10:24" x14ac:dyDescent="0.25">
      <c r="J49">
        <v>11455</v>
      </c>
      <c r="K49">
        <v>5.3380299999999998</v>
      </c>
      <c r="L49">
        <v>1.70055</v>
      </c>
      <c r="M49">
        <f t="shared" si="5"/>
        <v>7.0385799999999996</v>
      </c>
      <c r="N49">
        <v>7.1962999999999999</v>
      </c>
      <c r="O49">
        <v>17.071059999999999</v>
      </c>
      <c r="P49">
        <v>45.534010000000002</v>
      </c>
      <c r="Q49">
        <v>0.50207000000000002</v>
      </c>
      <c r="R49">
        <v>0.52280000000000004</v>
      </c>
      <c r="S49">
        <v>-0.54869000000000001</v>
      </c>
      <c r="T49">
        <v>11.08074</v>
      </c>
      <c r="U49">
        <v>-2.5649999999999999E-2</v>
      </c>
      <c r="V49">
        <v>-32.711219999999997</v>
      </c>
      <c r="W49">
        <v>-32.73574</v>
      </c>
      <c r="X49">
        <v>-3.6600000000000001E-3</v>
      </c>
    </row>
    <row r="50" spans="10:24" x14ac:dyDescent="0.25">
      <c r="J50">
        <v>12500</v>
      </c>
      <c r="K50">
        <v>5.3365</v>
      </c>
      <c r="L50">
        <v>1.85721</v>
      </c>
      <c r="M50">
        <f t="shared" si="5"/>
        <v>7.1937100000000003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Kunte</dc:creator>
  <cp:lastModifiedBy>Amit Kunte</cp:lastModifiedBy>
  <dcterms:created xsi:type="dcterms:W3CDTF">2026-02-20T10:25:42Z</dcterms:created>
  <dcterms:modified xsi:type="dcterms:W3CDTF">2026-04-24T09:28:20Z</dcterms:modified>
</cp:coreProperties>
</file>